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ericd\Dropbox\EricISBWork\PaperDrafts\Proteomics\GENCODE_Riboseq-PA_2025\ReviewerResponseDataForLeron\"/>
    </mc:Choice>
  </mc:AlternateContent>
  <xr:revisionPtr revIDLastSave="0" documentId="13_ncr:1_{9703F27E-0D7E-472A-B2B4-9FB014B462DD}" xr6:coauthVersionLast="47" xr6:coauthVersionMax="47" xr10:uidLastSave="{00000000-0000-0000-0000-000000000000}"/>
  <bookViews>
    <workbookView xWindow="24315" yWindow="6210" windowWidth="33030" windowHeight="17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  <c r="D7" i="1"/>
  <c r="D6" i="1"/>
  <c r="D5" i="1"/>
  <c r="D4" i="1"/>
  <c r="D3" i="1"/>
  <c r="D2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<sst xmlns="http://schemas.openxmlformats.org/spreadsheetml/2006/main" count="7" uniqueCount="7">
  <si>
    <t>Release</t>
  </si>
  <si>
    <t>Threshold</t>
  </si>
  <si>
    <t>n_decoy_PSMs</t>
  </si>
  <si>
    <t>n_ncORF_PSMs</t>
  </si>
  <si>
    <t>pct_increasein_decoy_PSMs_relto_release</t>
  </si>
  <si>
    <t>pct_increasein_ncORF_PSMs_relto_release</t>
  </si>
  <si>
    <t>ratio_ncORF_to_decoy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</si>
</sst>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8" sqref="F18"/>
    </sheetView>
  </sheetViews>
  <sheetFormatPr defaultRowHeight="15" x14ac:dyDescent="0.25"/>
  <cols>
    <col min="1" max="1" width="10.7109375" customWidth="1"/>
    <col min="2" max="2" width="14.28515625" bestFit="1" customWidth="1"/>
    <col min="3" max="3" width="14.5703125" bestFit="1" customWidth="1"/>
    <col min="4" max="4" width="39.7109375" bestFit="1" customWidth="1"/>
    <col min="5" max="5" width="40" bestFit="1" customWidth="1"/>
    <col min="6" max="6" width="21.140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>
        <v>0.9</v>
      </c>
      <c r="B2">
        <v>5515</v>
      </c>
      <c r="C2">
        <v>5148</v>
      </c>
      <c r="D2" s="1">
        <f>(B2-B$7)/B$7</f>
        <v>2.5239616613418532</v>
      </c>
      <c r="E2" s="1">
        <f>(C2-C$7)/C$7</f>
        <v>0.37647058823529411</v>
      </c>
      <c r="F2">
        <f t="shared" ref="F2:F6" si="0">C2/B2</f>
        <v>0.93345421577515864</v>
      </c>
    </row>
    <row r="3" spans="1:6" x14ac:dyDescent="0.25">
      <c r="A3">
        <v>0.95</v>
      </c>
      <c r="B3">
        <v>4040</v>
      </c>
      <c r="C3">
        <v>4789</v>
      </c>
      <c r="D3" s="1">
        <f t="shared" ref="D3:D7" si="1">(B3-B$7)/B$7</f>
        <v>1.5814696485623003</v>
      </c>
      <c r="E3" s="1">
        <f t="shared" ref="E3:E7" si="2">(C3-C$7)/C$7</f>
        <v>0.28048128342245987</v>
      </c>
      <c r="F3">
        <f t="shared" si="0"/>
        <v>1.1853960396039604</v>
      </c>
    </row>
    <row r="4" spans="1:6" x14ac:dyDescent="0.25">
      <c r="A4">
        <v>0.99</v>
      </c>
      <c r="B4">
        <v>2323</v>
      </c>
      <c r="C4">
        <v>4156</v>
      </c>
      <c r="D4" s="1">
        <f t="shared" si="1"/>
        <v>0.48434504792332267</v>
      </c>
      <c r="E4" s="1">
        <f t="shared" si="2"/>
        <v>0.11122994652406418</v>
      </c>
      <c r="F4">
        <f t="shared" si="0"/>
        <v>1.7890658631080498</v>
      </c>
    </row>
    <row r="5" spans="1:6" x14ac:dyDescent="0.25">
      <c r="A5">
        <v>0.995</v>
      </c>
      <c r="B5">
        <v>1877</v>
      </c>
      <c r="C5">
        <v>3949</v>
      </c>
      <c r="D5" s="1">
        <f t="shared" si="1"/>
        <v>0.19936102236421724</v>
      </c>
      <c r="E5" s="1">
        <f t="shared" si="2"/>
        <v>5.5882352941176473E-2</v>
      </c>
      <c r="F5">
        <f t="shared" si="0"/>
        <v>2.1038891848694727</v>
      </c>
    </row>
    <row r="6" spans="1:6" x14ac:dyDescent="0.25">
      <c r="A6">
        <v>0.99729999999999996</v>
      </c>
      <c r="B6">
        <v>1638</v>
      </c>
      <c r="C6">
        <v>3757</v>
      </c>
      <c r="D6" s="1">
        <f t="shared" si="1"/>
        <v>4.6645367412140572E-2</v>
      </c>
      <c r="E6" s="1">
        <f t="shared" si="2"/>
        <v>4.5454545454545452E-3</v>
      </c>
      <c r="F6">
        <f t="shared" si="0"/>
        <v>2.2936507936507935</v>
      </c>
    </row>
    <row r="7" spans="1:6" x14ac:dyDescent="0.25">
      <c r="A7" t="s">
        <v>0</v>
      </c>
      <c r="B7">
        <v>1565</v>
      </c>
      <c r="C7">
        <v>3740</v>
      </c>
      <c r="D7" s="1">
        <f t="shared" si="1"/>
        <v>0</v>
      </c>
      <c r="E7" s="1">
        <f t="shared" si="2"/>
        <v>0</v>
      </c>
      <c r="F7">
        <f>C7/B7</f>
        <v>2.389776357827476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Deutsch</dc:creator>
  <cp:lastModifiedBy>Eric Deutsch</cp:lastModifiedBy>
  <dcterms:created xsi:type="dcterms:W3CDTF">2015-06-05T18:17:20Z</dcterms:created>
  <dcterms:modified xsi:type="dcterms:W3CDTF">2025-03-17T17:55:05Z</dcterms:modified>
</cp:coreProperties>
</file>